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9\tablero-kacrea\"/>
    </mc:Choice>
  </mc:AlternateContent>
  <xr:revisionPtr revIDLastSave="0" documentId="13_ncr:1_{45642047-1611-4B34-B443-90C6E3355263}" xr6:coauthVersionLast="47" xr6:coauthVersionMax="47" xr10:uidLastSave="{00000000-0000-0000-0000-000000000000}"/>
  <bookViews>
    <workbookView xWindow="-108" yWindow="-108" windowWidth="23256" windowHeight="12456" xr2:uid="{53FCD251-3E6B-4872-A7F8-153FC9D4EB64}"/>
  </bookViews>
  <sheets>
    <sheet name="Escenari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C5" i="1"/>
  <c r="J13" i="1"/>
  <c r="I13" i="1"/>
  <c r="E13" i="1"/>
  <c r="G13" i="1"/>
  <c r="F13" i="1"/>
  <c r="B13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<sst xmlns="http://schemas.openxmlformats.org/spreadsheetml/2006/main" count="21" uniqueCount="21">
  <si>
    <t>Punto de equilibrio Escenario 2</t>
  </si>
  <si>
    <t>Costos fijos mensuales</t>
  </si>
  <si>
    <t>Presupuesto mensual de Gastos</t>
  </si>
  <si>
    <t>Egresos mensuales fijos</t>
  </si>
  <si>
    <t>% Margen meta s/PE</t>
  </si>
  <si>
    <t>Departamento</t>
  </si>
  <si>
    <t>Costo Fijo</t>
  </si>
  <si>
    <t>% de Gasto asignado</t>
  </si>
  <si>
    <t>Gasto Asignado</t>
  </si>
  <si>
    <t>Ingresos Promedio</t>
  </si>
  <si>
    <t>Costo Variable Promedio</t>
  </si>
  <si>
    <t>Punto de equilibrio</t>
  </si>
  <si>
    <t>Social Media</t>
  </si>
  <si>
    <t>Marketing</t>
  </si>
  <si>
    <t>Diseño</t>
  </si>
  <si>
    <t>Audiovisual</t>
  </si>
  <si>
    <t>Produccion</t>
  </si>
  <si>
    <t>Total</t>
  </si>
  <si>
    <t>piso de venta</t>
  </si>
  <si>
    <t>Margen de contribución Promedio</t>
  </si>
  <si>
    <t>% Margen de Contribución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</si>
</sst>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9" fontId="0" fillId="0" borderId="1" xfId="0" applyNumberFormat="1" applyBorder="1"/>
    <xf numFmtId="0" fontId="1" fillId="4" borderId="1" xfId="0" applyFont="1" applyFill="1" applyBorder="1"/>
    <xf numFmtId="164" fontId="1" fillId="3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center"/>
    </xf>
    <xf numFmtId="164" fontId="0" fillId="0" borderId="1" xfId="0" applyNumberFormat="1" applyBorder="1"/>
    <xf numFmtId="164" fontId="1" fillId="4" borderId="1" xfId="0" applyNumberFormat="1" applyFont="1" applyFill="1" applyBorder="1"/>
    <xf numFmtId="165" fontId="0" fillId="0" borderId="1" xfId="0" applyNumberFormat="1" applyBorder="1"/>
    <xf numFmtId="165" fontId="1" fillId="4" borderId="1" xfId="0" applyNumberFormat="1" applyFont="1" applyFill="1" applyBorder="1"/>
    <xf numFmtId="164" fontId="6" fillId="0" borderId="1" xfId="0" applyNumberFormat="1" applyFont="1" applyBorder="1"/>
    <xf numFmtId="164" fontId="7" fillId="4" borderId="1" xfId="0" applyNumberFormat="1" applyFont="1" applyFill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FE38-52A4-4DE7-88A7-EC01A93F10B3}">
  <dimension ref="A1:J13"/>
  <sheetViews>
    <sheetView tabSelected="1" workbookViewId="0">
      <selection activeCell="H17" sqref="H17"/>
    </sheetView>
  </sheetViews>
  <sheetFormatPr baseColWidth="10" defaultRowHeight="14.4" x14ac:dyDescent="0.3"/>
  <cols>
    <col min="1" max="1" width="22.77734375" customWidth="1"/>
    <col min="2" max="5" width="14.77734375" customWidth="1"/>
    <col min="6" max="6" width="16.77734375" customWidth="1"/>
    <col min="7" max="10" width="14.77734375" customWidth="1"/>
  </cols>
  <sheetData>
    <row r="1" spans="1:10" ht="25.9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x14ac:dyDescent="0.3">
      <c r="A3" s="1" t="s">
        <v>1</v>
      </c>
      <c r="C3" s="6">
        <v>9600</v>
      </c>
    </row>
    <row r="4" spans="1:10" x14ac:dyDescent="0.3">
      <c r="A4" s="1" t="s">
        <v>2</v>
      </c>
      <c r="C4" s="6">
        <v>13250</v>
      </c>
      <c r="G4" s="16" t="s">
        <v>4</v>
      </c>
      <c r="H4" s="16"/>
      <c r="I4" s="7">
        <v>0.3</v>
      </c>
    </row>
    <row r="5" spans="1:10" x14ac:dyDescent="0.3">
      <c r="A5" s="1" t="s">
        <v>3</v>
      </c>
      <c r="C5" s="6">
        <f>C3+C4</f>
        <v>22850</v>
      </c>
    </row>
    <row r="7" spans="1:10" ht="42" customHeigh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19</v>
      </c>
      <c r="H7" s="2" t="s">
        <v>20</v>
      </c>
      <c r="I7" s="2" t="s">
        <v>11</v>
      </c>
      <c r="J7" s="2" t="s">
        <v>18</v>
      </c>
    </row>
    <row r="8" spans="1:10" x14ac:dyDescent="0.3">
      <c r="A8" s="3" t="s">
        <v>12</v>
      </c>
      <c r="B8" s="12">
        <v>2700</v>
      </c>
      <c r="C8" s="10">
        <v>0.2</v>
      </c>
      <c r="D8" s="8">
        <v>2650</v>
      </c>
      <c r="E8" s="8">
        <v>5025</v>
      </c>
      <c r="F8" s="8">
        <v>442.07714799600643</v>
      </c>
      <c r="G8" s="8">
        <v>4582.9228520039933</v>
      </c>
      <c r="H8" s="4">
        <f>G8/E8</f>
        <v>0.91202444815999861</v>
      </c>
      <c r="I8" s="8">
        <v>5866.070817283</v>
      </c>
      <c r="J8" s="8">
        <v>6000</v>
      </c>
    </row>
    <row r="9" spans="1:10" x14ac:dyDescent="0.3">
      <c r="A9" s="3" t="s">
        <v>13</v>
      </c>
      <c r="B9" s="12">
        <v>3400</v>
      </c>
      <c r="C9" s="10">
        <v>0.2</v>
      </c>
      <c r="D9" s="8">
        <v>2650</v>
      </c>
      <c r="E9" s="8">
        <v>3111.0835274402475</v>
      </c>
      <c r="F9" s="8">
        <v>193.13666666666668</v>
      </c>
      <c r="G9" s="8">
        <v>2917.9468607735807</v>
      </c>
      <c r="H9" s="4">
        <f>G9/E9</f>
        <v>0.93791980672869402</v>
      </c>
      <c r="I9" s="8">
        <v>6450.444863832633</v>
      </c>
      <c r="J9" s="8">
        <v>6500</v>
      </c>
    </row>
    <row r="10" spans="1:10" x14ac:dyDescent="0.3">
      <c r="A10" s="3" t="s">
        <v>14</v>
      </c>
      <c r="B10" s="12">
        <v>1400</v>
      </c>
      <c r="C10" s="10">
        <v>0.2</v>
      </c>
      <c r="D10" s="8">
        <v>2650</v>
      </c>
      <c r="E10" s="8">
        <v>4181.0758942218717</v>
      </c>
      <c r="F10" s="8">
        <v>25.747230721393038</v>
      </c>
      <c r="G10" s="8">
        <v>4155.3286635004788</v>
      </c>
      <c r="H10" s="4">
        <f t="shared" ref="H10:H13" si="0">G10/E10</f>
        <v>0.99384196044922912</v>
      </c>
      <c r="I10" s="8">
        <v>4075.0945936810203</v>
      </c>
      <c r="J10" s="8">
        <v>4100</v>
      </c>
    </row>
    <row r="11" spans="1:10" x14ac:dyDescent="0.3">
      <c r="A11" s="3" t="s">
        <v>15</v>
      </c>
      <c r="B11" s="12">
        <v>700</v>
      </c>
      <c r="C11" s="10">
        <v>0.2</v>
      </c>
      <c r="D11" s="8">
        <v>2650</v>
      </c>
      <c r="E11" s="8">
        <v>2628.5</v>
      </c>
      <c r="F11" s="8">
        <v>405.30891337595108</v>
      </c>
      <c r="G11" s="8">
        <v>2223.1910866240487</v>
      </c>
      <c r="H11" s="4">
        <f t="shared" si="0"/>
        <v>0.84580220149288521</v>
      </c>
      <c r="I11" s="8">
        <v>3960.7369123502804</v>
      </c>
      <c r="J11" s="8">
        <v>4000</v>
      </c>
    </row>
    <row r="12" spans="1:10" x14ac:dyDescent="0.3">
      <c r="A12" s="3" t="s">
        <v>16</v>
      </c>
      <c r="B12" s="12">
        <v>1400</v>
      </c>
      <c r="C12" s="10">
        <v>0.2</v>
      </c>
      <c r="D12" s="8">
        <v>2650</v>
      </c>
      <c r="E12" s="8">
        <v>19915.974884756415</v>
      </c>
      <c r="F12" s="8">
        <v>13780.641542038522</v>
      </c>
      <c r="G12" s="8">
        <v>6135.3333427178932</v>
      </c>
      <c r="H12" s="4">
        <f t="shared" si="0"/>
        <v>0.30806090980832906</v>
      </c>
      <c r="I12" s="8">
        <v>13146.750759516519</v>
      </c>
      <c r="J12" s="8">
        <v>25000</v>
      </c>
    </row>
    <row r="13" spans="1:10" x14ac:dyDescent="0.3">
      <c r="A13" s="5" t="s">
        <v>17</v>
      </c>
      <c r="B13" s="13">
        <f>SUM(B8:B12)</f>
        <v>9600</v>
      </c>
      <c r="C13" s="11">
        <v>1</v>
      </c>
      <c r="D13" s="9">
        <v>13250</v>
      </c>
      <c r="E13" s="13">
        <f>SUM(E8:E12)</f>
        <v>34861.634306418535</v>
      </c>
      <c r="F13" s="13">
        <f>SUM(F8:F12)</f>
        <v>14846.911500798538</v>
      </c>
      <c r="G13" s="13">
        <f>SUM(G8:G12)</f>
        <v>20014.722805619997</v>
      </c>
      <c r="H13" s="4">
        <f t="shared" si="0"/>
        <v>0.57411889040253616</v>
      </c>
      <c r="I13" s="13">
        <f>SUM(I8:I12)</f>
        <v>33499.097946663453</v>
      </c>
      <c r="J13" s="13">
        <f>SUM(J8:J12)</f>
        <v>45600</v>
      </c>
    </row>
  </sheetData>
  <mergeCells count="2">
    <mergeCell ref="A1:J1"/>
    <mergeCell ref="G4:H4"/>
  </mergeCells>
  <pageMargins left="0.7" right="0.7" top="0.75" bottom="0.75" header="0.3" footer="0.3"/>
  <pageSetup orientation="portrait" verticalDpi="0" r:id="rId1"/>
  <ignoredErrors>
    <ignoredError sqref="H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Escenario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Usuario19</dc:creator>
  <cp:lastModifiedBy>Usuario19</cp:lastModifiedBy>
  <dcterms:created xsi:type="dcterms:W3CDTF">2026-07-01T14:28:52Z</dcterms:created>
  <dcterms:modified xsi:type="dcterms:W3CDTF">2026-07-21T14:01:55Z</dcterms:modified>
</cp:coreProperties>
</file>